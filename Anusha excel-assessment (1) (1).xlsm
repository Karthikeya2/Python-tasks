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15690" windowHeight="9180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<sst xmlns="http://schemas.openxmlformats.org/spreadsheetml/2006/main" count="404" uniqueCount="181">
  <si>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</si>
  <si>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</si>
  <si>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</si>
  <si>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</si>
  <si>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</si>
  <si>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</si>
  <si>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</si>
  <si>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</si>
  <si>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</si>
  <si>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</si>
  <si>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</si>
  <si>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</si>
  <si>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</si>
  <si>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</si>
  <si>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</si>
  <si>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</si>
  <si>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</si>
  <si>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</si>
  <si>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</si>
  <si>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</si>
  <si>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</si>
  <si>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</si>
  <si>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</si>
  <si>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</si>
  <si>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</si>
  <si>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</si>
  <si>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</si>
  <si>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</si>
  <si>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</si>
  <si>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</si>
  <si>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</si>
  <si>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</si>
  <si>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</si>
  <si>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</si>
  <si>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</si>
  <si>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</si>
  <si>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</si>
  <si>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</si>
  <si>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</si>
  <si>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</si>
  <si>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</si>
  <si>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</si>
  <si>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</si>
  <si>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</si>
  <si>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</si>
  <si>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</si>
  <si>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</si>
  <si>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</si>
  <si>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</si>
  <si>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</si>
  <si>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</si>
  <si>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</si>
  <si>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</si>
  <si>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</si>
  <si>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</si>
  <si>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</si>
  <si>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</si>
  <si>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</si>
  <si>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</si>
  <si>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</si>
  <si>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</si>
  <si>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</si>
  <si>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</si>
  <si>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</si>
  <si>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</si>
  <si>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</si>
  <si>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</si>
  <si>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</si>
  <si>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</si>
  <si>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</si>
  <si>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</si>
  <si>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</si>
  <si>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</si>
  <si>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</si>
  <si>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</si>
  <si>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</si>
  <si>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</si>
  <si>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</si>
  <si>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</si>
  <si>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</si>
  <si>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</si>
  <si>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</si>
  <si>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</si>
  <si>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</si>
  <si>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</si>
  <si>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</si>
  <si>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</si>
  <si>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</si>
  <si>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SUMIF(H2:H40, 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</si>
  <si>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</si>
  <si>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</si>
  <si>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</si>
  <si>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</si>
  <si>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</si>
  <si>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</si>
  <si>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</si>
  <si>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</si>
  <si>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</si>
  <si>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</si>
  <si>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</si>
  <si>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 xml:space="preserve">I used spilt function here 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</si>
  <si>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</si>
  <si>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</si>
  <si>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</si>
  <si>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</si>
  <si>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</si>
  <si>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</si>
  <si>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</si>
  <si>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</si>
  <si>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</si>
  <si>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</si>
  <si>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</si>
  <si>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</si>
  <si>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</si>
  <si>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</si>
  <si>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</si>
  <si>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</si>
  <si>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</si>
  <si>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</si>
  <si>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</si>
  <si>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</si>
  <si>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</si>
  <si>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</si>
  <si>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</si>
  <si>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</si>
  <si>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</si>
  <si>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</si>
  <si>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</si>
  <si>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</si>
  <si>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</si>
  <si>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</si>
  <si>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</si>
  <si>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</si>
  <si>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</si>
  <si>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</si>
  <si>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</si>
  <si>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</si>
  <si>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</si>
  <si>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</si>
  <si>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</si>
  <si>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</si>
  <si>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</si>
  <si>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</si>
  <si>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</si>
  <si>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</si>
  <si>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</si>
  <si>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</si>
  <si>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</si>
  <si>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</si>
  <si>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20 values must be substituted with the value '20'</t>
  </si>
  <si>
    <t>I have used find and replace here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</si>
  <si>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</si>
  <si>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</si>
  <si>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</si>
  <si>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</si>
  <si>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</si>
  <si>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</si>
  <si>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</si>
  <si>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</si>
  <si>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</si>
  <si>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</si>
  <si>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</si>
  <si>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</si>
  <si>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</si>
  <si>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</si>
  <si>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</si>
  <si>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i am sorry i didnt understand the logic behind this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</si>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</sst>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  <numFmt numFmtId="182" formatCode="dd/mm/yyyy"/>
  </numFmts>
  <fonts count="36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0.5"/>
      <color theme="1"/>
      <name val="Courier New"/>
      <charset val="20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3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178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6" borderId="12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15" applyNumberFormat="0" applyAlignment="0" applyProtection="0">
      <alignment vertical="center"/>
    </xf>
    <xf numFmtId="0" fontId="24" fillId="8" borderId="16" applyNumberFormat="0" applyAlignment="0" applyProtection="0">
      <alignment vertical="center"/>
    </xf>
    <xf numFmtId="0" fontId="25" fillId="8" borderId="15" applyNumberFormat="0" applyAlignment="0" applyProtection="0">
      <alignment vertical="center"/>
    </xf>
    <xf numFmtId="0" fontId="26" fillId="9" borderId="17" applyNumberFormat="0" applyAlignment="0" applyProtection="0">
      <alignment vertical="center"/>
    </xf>
    <xf numFmtId="0" fontId="27" fillId="0" borderId="18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4" fillId="0" borderId="0"/>
    <xf numFmtId="0" fontId="14" fillId="0" borderId="0"/>
    <xf numFmtId="0" fontId="35" fillId="0" borderId="0">
      <alignment vertical="top" wrapText="1"/>
    </xf>
  </cellStyleXfs>
  <cellXfs count="48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49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6" fillId="0" borderId="1" xfId="0" applyFont="1" applyBorder="1"/>
    <xf numFmtId="0" fontId="9" fillId="0" borderId="0" xfId="0" applyFont="1"/>
    <xf numFmtId="180" fontId="4" fillId="0" borderId="1" xfId="0" applyNumberFormat="1" applyFont="1" applyBorder="1"/>
    <xf numFmtId="0" fontId="1" fillId="0" borderId="1" xfId="0" applyNumberFormat="1" applyFont="1" applyBorder="1"/>
    <xf numFmtId="0" fontId="6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3" borderId="3" xfId="0" applyFont="1" applyFill="1" applyBorder="1"/>
    <xf numFmtId="0" fontId="4" fillId="0" borderId="6" xfId="0" applyFont="1" applyBorder="1"/>
    <xf numFmtId="0" fontId="4" fillId="5" borderId="1" xfId="0" applyFont="1" applyFill="1" applyBorder="1"/>
    <xf numFmtId="0" fontId="10" fillId="2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181" fontId="4" fillId="0" borderId="0" xfId="0" applyNumberFormat="1" applyFont="1"/>
    <xf numFmtId="0" fontId="12" fillId="0" borderId="0" xfId="0" applyFont="1"/>
    <xf numFmtId="181" fontId="12" fillId="0" borderId="0" xfId="0" applyNumberFormat="1" applyFont="1"/>
    <xf numFmtId="0" fontId="6" fillId="3" borderId="0" xfId="0" applyFont="1" applyFill="1"/>
    <xf numFmtId="0" fontId="6" fillId="4" borderId="0" xfId="0" applyFont="1" applyFill="1"/>
    <xf numFmtId="182" fontId="4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4" xfId="54"/>
    <cellStyle name="Normal 5" xfId="55"/>
    <cellStyle name="Normal 5 2" xfId="56"/>
    <cellStyle name="Normal 5 3" xfId="57"/>
    <cellStyle name="Normal 7" xfId="58"/>
  </cellStyles>
  <dxfs count="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bgColor rgb="FFFF0000"/>
        </patternFill>
      </fill>
      <border>
        <left/>
        <right/>
        <top/>
        <bottom/>
      </border>
    </dxf>
    <dxf>
      <font>
        <b val="1"/>
        <i val="0"/>
      </font>
    </dxf>
    <dxf>
      <font>
        <color rgb="FF006100"/>
      </font>
      <fill>
        <patternFill patternType="solid">
          <bgColor rgb="FFC6EFCE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3F1360EB-FDEA-442F-A6E9-0E4B50A91C6A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workbookViewId="0">
      <selection activeCell="A10" sqref="A10"/>
    </sheetView>
  </sheetViews>
  <sheetFormatPr defaultColWidth="11" defaultRowHeight="12.75" outlineLevelCol="2"/>
  <cols>
    <col min="1" max="1" width="70.8" style="1" customWidth="1"/>
    <col min="2" max="16384" width="11" style="1"/>
  </cols>
  <sheetData>
    <row r="1" ht="18.75" spans="1:1">
      <c r="A1" s="43" t="s">
        <v>0</v>
      </c>
    </row>
    <row r="2" spans="1:1">
      <c r="A2" s="1" t="s">
        <v>1</v>
      </c>
    </row>
    <row r="3" spans="1:1">
      <c r="A3" s="1" t="s">
        <v>2</v>
      </c>
    </row>
    <row r="4" ht="15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4" t="s">
        <v>6</v>
      </c>
      <c r="B9" s="8" t="s">
        <v>7</v>
      </c>
    </row>
    <row r="10" spans="1:2">
      <c r="A10" s="45" t="s">
        <v>8</v>
      </c>
      <c r="B10" s="46">
        <v>25</v>
      </c>
    </row>
    <row r="11" spans="1:2">
      <c r="A11" s="45" t="s">
        <v>9</v>
      </c>
      <c r="B11" s="46">
        <v>30</v>
      </c>
    </row>
    <row r="12" spans="1:2">
      <c r="A12" s="45" t="s">
        <v>10</v>
      </c>
      <c r="B12" s="46">
        <v>10</v>
      </c>
    </row>
    <row r="13" spans="1:2">
      <c r="A13" s="45" t="s">
        <v>11</v>
      </c>
      <c r="B13" s="46">
        <v>20</v>
      </c>
    </row>
    <row r="14" spans="1:2">
      <c r="A14" s="45" t="s">
        <v>12</v>
      </c>
      <c r="B14" s="46">
        <v>40</v>
      </c>
    </row>
    <row r="15" spans="1:2">
      <c r="A15" s="47" t="s">
        <v>13</v>
      </c>
      <c r="B15" s="9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0"/>
  <sheetViews>
    <sheetView tabSelected="1" zoomScale="85" zoomScaleNormal="85" workbookViewId="0">
      <pane ySplit="1" topLeftCell="A2" activePane="bottomLeft" state="frozen"/>
      <selection/>
      <selection pane="bottomLeft" activeCell="M5" sqref="M5"/>
    </sheetView>
  </sheetViews>
  <sheetFormatPr defaultColWidth="9" defaultRowHeight="15"/>
  <cols>
    <col min="1" max="1" width="25.4" style="4" customWidth="1"/>
    <col min="2" max="2" width="7.4" style="4" customWidth="1"/>
    <col min="3" max="3" width="9.8" style="4" customWidth="1"/>
    <col min="4" max="4" width="11" style="37" customWidth="1"/>
    <col min="5" max="5" width="9.2" style="4" customWidth="1"/>
    <col min="6" max="6" width="10.4" style="37" customWidth="1"/>
    <col min="7" max="9" width="12.8" style="4" customWidth="1"/>
    <col min="10" max="12" width="13" style="4" customWidth="1"/>
    <col min="13" max="15" width="14.2" style="4" customWidth="1"/>
    <col min="16" max="18" width="14.4" style="4" customWidth="1"/>
    <col min="19" max="20" width="18.8" style="4" customWidth="1"/>
    <col min="21" max="23" width="19" style="4" customWidth="1"/>
    <col min="24" max="24" width="12.6" style="4" customWidth="1"/>
    <col min="25" max="16384" width="9" style="4"/>
  </cols>
  <sheetData>
    <row r="1" s="6" customFormat="1" ht="14.75" customHeight="1" spans="1:24">
      <c r="A1" s="38" t="s">
        <v>14</v>
      </c>
      <c r="B1" s="38" t="s">
        <v>15</v>
      </c>
      <c r="C1" s="38" t="s">
        <v>16</v>
      </c>
      <c r="D1" s="39" t="s">
        <v>17</v>
      </c>
      <c r="E1" s="38" t="s">
        <v>18</v>
      </c>
      <c r="F1" s="39" t="s">
        <v>19</v>
      </c>
      <c r="G1" s="40" t="s">
        <v>20</v>
      </c>
      <c r="H1" s="40" t="s">
        <v>21</v>
      </c>
      <c r="I1" s="40" t="s">
        <v>22</v>
      </c>
      <c r="J1" s="41" t="s">
        <v>23</v>
      </c>
      <c r="K1" s="41" t="s">
        <v>24</v>
      </c>
      <c r="L1" s="41" t="s">
        <v>25</v>
      </c>
      <c r="M1" s="40" t="s">
        <v>26</v>
      </c>
      <c r="N1" s="40" t="s">
        <v>27</v>
      </c>
      <c r="O1" s="40" t="s">
        <v>28</v>
      </c>
      <c r="P1" s="41" t="s">
        <v>29</v>
      </c>
      <c r="Q1" s="41" t="s">
        <v>30</v>
      </c>
      <c r="R1" s="41" t="s">
        <v>31</v>
      </c>
      <c r="S1" s="40" t="s">
        <v>32</v>
      </c>
      <c r="T1" s="40" t="s">
        <v>33</v>
      </c>
      <c r="U1" s="41" t="s">
        <v>34</v>
      </c>
      <c r="V1" s="41" t="s">
        <v>35</v>
      </c>
      <c r="W1" s="41" t="s">
        <v>36</v>
      </c>
      <c r="X1" s="6" t="s">
        <v>37</v>
      </c>
    </row>
    <row r="2" spans="1:24">
      <c r="A2" s="4" t="s">
        <v>38</v>
      </c>
      <c r="B2" s="4">
        <v>20000</v>
      </c>
      <c r="C2" s="4" t="s">
        <v>39</v>
      </c>
      <c r="D2" s="37">
        <v>0</v>
      </c>
      <c r="E2" s="4" t="s">
        <v>40</v>
      </c>
      <c r="F2" s="37">
        <v>0.999988425925926</v>
      </c>
      <c r="G2" s="4">
        <v>2.7</v>
      </c>
      <c r="H2" s="4">
        <v>3.7</v>
      </c>
      <c r="I2" s="4">
        <v>4.7</v>
      </c>
      <c r="J2" s="4">
        <v>5.7</v>
      </c>
      <c r="K2" s="4">
        <v>6.7</v>
      </c>
      <c r="L2" s="4">
        <v>7.7</v>
      </c>
      <c r="M2" s="4">
        <v>8.7</v>
      </c>
      <c r="N2" s="4">
        <v>9.7</v>
      </c>
      <c r="O2" s="4">
        <v>10.7</v>
      </c>
      <c r="P2" s="4">
        <v>11.7</v>
      </c>
      <c r="Q2" s="4">
        <v>12.7</v>
      </c>
      <c r="R2" s="4">
        <v>13.7</v>
      </c>
      <c r="S2" s="4">
        <v>14.7</v>
      </c>
      <c r="T2" s="4">
        <v>15.7</v>
      </c>
      <c r="U2" s="4">
        <v>16.7</v>
      </c>
      <c r="V2" s="4">
        <v>17.7</v>
      </c>
      <c r="W2" s="4">
        <v>18.7</v>
      </c>
      <c r="X2" s="4">
        <v>19.7</v>
      </c>
    </row>
    <row r="3" spans="1:24">
      <c r="A3" s="4" t="s">
        <v>41</v>
      </c>
      <c r="B3" s="4">
        <v>20002</v>
      </c>
      <c r="C3" s="4" t="s">
        <v>39</v>
      </c>
      <c r="D3" s="37">
        <v>0</v>
      </c>
      <c r="E3" s="4" t="s">
        <v>40</v>
      </c>
      <c r="F3" s="37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42">
        <v>45048</v>
      </c>
    </row>
    <row r="4" spans="1:24">
      <c r="A4" s="4" t="s">
        <v>42</v>
      </c>
      <c r="B4" s="4">
        <v>20004</v>
      </c>
      <c r="C4" s="4" t="s">
        <v>39</v>
      </c>
      <c r="D4" s="37">
        <v>0</v>
      </c>
      <c r="E4" s="4" t="s">
        <v>40</v>
      </c>
      <c r="F4" s="37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42">
        <v>45055</v>
      </c>
    </row>
    <row r="5" spans="1:24">
      <c r="A5" s="4" t="s">
        <v>43</v>
      </c>
      <c r="B5" s="4">
        <v>20006</v>
      </c>
      <c r="C5" s="4" t="s">
        <v>39</v>
      </c>
      <c r="D5" s="37">
        <v>0</v>
      </c>
      <c r="E5" s="4" t="s">
        <v>40</v>
      </c>
      <c r="F5" s="37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42">
        <v>45059</v>
      </c>
    </row>
    <row r="6" spans="1:24">
      <c r="A6" s="4" t="s">
        <v>44</v>
      </c>
      <c r="B6" s="4">
        <v>20008</v>
      </c>
      <c r="C6" s="4" t="s">
        <v>39</v>
      </c>
      <c r="D6" s="37">
        <v>0</v>
      </c>
      <c r="E6" s="4" t="s">
        <v>40</v>
      </c>
      <c r="F6" s="37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42">
        <v>45076</v>
      </c>
    </row>
    <row r="7" spans="1:24">
      <c r="A7" s="4" t="s">
        <v>45</v>
      </c>
      <c r="B7" s="4">
        <v>20010</v>
      </c>
      <c r="C7" s="4" t="s">
        <v>39</v>
      </c>
      <c r="D7" s="37">
        <v>0</v>
      </c>
      <c r="E7" s="4" t="s">
        <v>40</v>
      </c>
      <c r="F7" s="37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42">
        <v>45057</v>
      </c>
    </row>
    <row r="8" spans="1:24">
      <c r="A8" s="4" t="s">
        <v>46</v>
      </c>
      <c r="B8" s="4">
        <v>20012</v>
      </c>
      <c r="C8" s="4" t="s">
        <v>39</v>
      </c>
      <c r="D8" s="37">
        <v>0</v>
      </c>
      <c r="E8" s="4" t="s">
        <v>40</v>
      </c>
      <c r="F8" s="37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42">
        <v>45052</v>
      </c>
    </row>
    <row r="9" spans="1:24">
      <c r="A9" s="4" t="s">
        <v>47</v>
      </c>
      <c r="B9" s="4">
        <v>20014</v>
      </c>
      <c r="C9" s="4" t="s">
        <v>39</v>
      </c>
      <c r="D9" s="37">
        <v>0</v>
      </c>
      <c r="E9" s="4" t="s">
        <v>40</v>
      </c>
      <c r="F9" s="37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42">
        <v>45098</v>
      </c>
    </row>
    <row r="10" spans="1:24">
      <c r="A10" s="4" t="s">
        <v>48</v>
      </c>
      <c r="B10" s="4">
        <v>20016</v>
      </c>
      <c r="C10" s="4" t="s">
        <v>39</v>
      </c>
      <c r="D10" s="37">
        <v>0</v>
      </c>
      <c r="E10" s="4" t="s">
        <v>40</v>
      </c>
      <c r="F10" s="37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42">
        <v>45092</v>
      </c>
    </row>
    <row r="11" spans="1:24">
      <c r="A11" s="4" t="s">
        <v>49</v>
      </c>
      <c r="B11" s="4">
        <v>20018</v>
      </c>
      <c r="C11" s="4" t="s">
        <v>39</v>
      </c>
      <c r="D11" s="37">
        <v>0</v>
      </c>
      <c r="E11" s="4" t="s">
        <v>40</v>
      </c>
      <c r="F11" s="37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42">
        <v>45104</v>
      </c>
    </row>
    <row r="12" spans="1:24">
      <c r="A12" s="4" t="s">
        <v>50</v>
      </c>
      <c r="B12" s="4">
        <v>20020</v>
      </c>
      <c r="C12" s="4" t="s">
        <v>39</v>
      </c>
      <c r="D12" s="37">
        <v>0</v>
      </c>
      <c r="E12" s="4" t="s">
        <v>40</v>
      </c>
      <c r="F12" s="37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2">
        <v>45116</v>
      </c>
    </row>
    <row r="13" spans="1:24">
      <c r="A13" s="4" t="s">
        <v>51</v>
      </c>
      <c r="B13" s="4">
        <v>20022</v>
      </c>
      <c r="C13" s="4" t="s">
        <v>39</v>
      </c>
      <c r="D13" s="37">
        <v>0</v>
      </c>
      <c r="E13" s="4" t="s">
        <v>40</v>
      </c>
      <c r="F13" s="37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42">
        <v>45110</v>
      </c>
    </row>
    <row r="14" spans="1:24">
      <c r="A14" s="4" t="s">
        <v>52</v>
      </c>
      <c r="B14" s="4">
        <v>20024</v>
      </c>
      <c r="C14" s="4" t="s">
        <v>39</v>
      </c>
      <c r="D14" s="37">
        <v>0</v>
      </c>
      <c r="E14" s="4" t="s">
        <v>40</v>
      </c>
      <c r="F14" s="37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42">
        <v>45095</v>
      </c>
    </row>
    <row r="15" spans="1:24">
      <c r="A15" s="4" t="s">
        <v>53</v>
      </c>
      <c r="B15" s="4">
        <v>20026</v>
      </c>
      <c r="C15" s="4" t="s">
        <v>39</v>
      </c>
      <c r="D15" s="37">
        <v>0</v>
      </c>
      <c r="E15" s="4" t="s">
        <v>40</v>
      </c>
      <c r="F15" s="37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42">
        <v>45113</v>
      </c>
    </row>
    <row r="16" spans="1:24">
      <c r="A16" s="4" t="s">
        <v>54</v>
      </c>
      <c r="B16" s="4">
        <v>20028</v>
      </c>
      <c r="C16" s="4" t="s">
        <v>39</v>
      </c>
      <c r="D16" s="37">
        <v>0</v>
      </c>
      <c r="E16" s="4" t="s">
        <v>40</v>
      </c>
      <c r="F16" s="37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42">
        <v>45063</v>
      </c>
    </row>
    <row r="17" spans="1:24">
      <c r="A17" s="4" t="s">
        <v>55</v>
      </c>
      <c r="B17" s="4">
        <v>20030</v>
      </c>
      <c r="C17" s="4" t="s">
        <v>39</v>
      </c>
      <c r="D17" s="37">
        <v>0</v>
      </c>
      <c r="E17" s="4" t="s">
        <v>40</v>
      </c>
      <c r="F17" s="37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42">
        <v>45071</v>
      </c>
    </row>
    <row r="18" spans="1:24">
      <c r="A18" s="4" t="s">
        <v>56</v>
      </c>
      <c r="B18" s="4">
        <v>20032</v>
      </c>
      <c r="C18" s="4" t="s">
        <v>39</v>
      </c>
      <c r="D18" s="37">
        <v>0</v>
      </c>
      <c r="E18" s="4" t="s">
        <v>40</v>
      </c>
      <c r="F18" s="37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42">
        <v>45085</v>
      </c>
    </row>
    <row r="19" spans="1:24">
      <c r="A19" s="4" t="s">
        <v>57</v>
      </c>
      <c r="B19" s="4">
        <v>20034</v>
      </c>
      <c r="C19" s="4" t="s">
        <v>39</v>
      </c>
      <c r="D19" s="37">
        <v>0</v>
      </c>
      <c r="E19" s="4" t="s">
        <v>40</v>
      </c>
      <c r="F19" s="37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42">
        <v>45099</v>
      </c>
    </row>
    <row r="20" spans="1:24">
      <c r="A20" s="4" t="s">
        <v>58</v>
      </c>
      <c r="B20" s="4">
        <v>20036</v>
      </c>
      <c r="C20" s="4" t="s">
        <v>39</v>
      </c>
      <c r="D20" s="37">
        <v>0</v>
      </c>
      <c r="E20" s="4" t="s">
        <v>40</v>
      </c>
      <c r="F20" s="37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42">
        <v>45091</v>
      </c>
    </row>
    <row r="21" spans="1:24">
      <c r="A21" s="4" t="s">
        <v>59</v>
      </c>
      <c r="B21" s="4">
        <v>20038</v>
      </c>
      <c r="C21" s="4" t="s">
        <v>39</v>
      </c>
      <c r="D21" s="37">
        <v>0</v>
      </c>
      <c r="E21" s="4" t="s">
        <v>40</v>
      </c>
      <c r="F21" s="37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42">
        <v>45079</v>
      </c>
    </row>
    <row r="22" spans="1:24">
      <c r="A22" s="4" t="s">
        <v>60</v>
      </c>
      <c r="B22" s="4">
        <v>20040</v>
      </c>
      <c r="C22" s="4" t="s">
        <v>39</v>
      </c>
      <c r="D22" s="37">
        <v>0</v>
      </c>
      <c r="E22" s="4" t="s">
        <v>40</v>
      </c>
      <c r="F22" s="37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42">
        <v>45075</v>
      </c>
    </row>
    <row r="23" spans="1:24">
      <c r="A23" s="4" t="s">
        <v>61</v>
      </c>
      <c r="B23" s="4">
        <v>20042</v>
      </c>
      <c r="C23" s="4" t="s">
        <v>39</v>
      </c>
      <c r="D23" s="37">
        <v>0</v>
      </c>
      <c r="E23" s="4" t="s">
        <v>40</v>
      </c>
      <c r="F23" s="37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42">
        <v>45110</v>
      </c>
    </row>
    <row r="24" spans="1:24">
      <c r="A24" s="4" t="s">
        <v>62</v>
      </c>
      <c r="B24" s="4">
        <v>20044</v>
      </c>
      <c r="C24" s="4" t="s">
        <v>39</v>
      </c>
      <c r="D24" s="37">
        <v>0</v>
      </c>
      <c r="E24" s="4" t="s">
        <v>40</v>
      </c>
      <c r="F24" s="37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42">
        <v>45114</v>
      </c>
    </row>
    <row r="25" spans="1:24">
      <c r="A25" s="4" t="s">
        <v>63</v>
      </c>
      <c r="B25" s="4">
        <v>20046</v>
      </c>
      <c r="C25" s="4" t="s">
        <v>39</v>
      </c>
      <c r="D25" s="37">
        <v>0</v>
      </c>
      <c r="E25" s="4" t="s">
        <v>40</v>
      </c>
      <c r="F25" s="37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42">
        <v>45118</v>
      </c>
    </row>
    <row r="26" spans="1:24">
      <c r="A26" s="4" t="s">
        <v>64</v>
      </c>
      <c r="B26" s="4">
        <v>20048</v>
      </c>
      <c r="C26" s="4" t="s">
        <v>39</v>
      </c>
      <c r="D26" s="37">
        <v>0</v>
      </c>
      <c r="E26" s="4" t="s">
        <v>40</v>
      </c>
      <c r="F26" s="37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2">
        <v>45142</v>
      </c>
    </row>
    <row r="27" spans="1:24">
      <c r="A27" s="4" t="s">
        <v>65</v>
      </c>
      <c r="B27" s="4">
        <v>20050</v>
      </c>
      <c r="C27" s="4" t="s">
        <v>39</v>
      </c>
      <c r="D27" s="37">
        <v>0</v>
      </c>
      <c r="E27" s="4" t="s">
        <v>40</v>
      </c>
      <c r="F27" s="37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42">
        <v>45146</v>
      </c>
    </row>
    <row r="28" spans="1:24">
      <c r="A28" s="4" t="s">
        <v>66</v>
      </c>
      <c r="B28" s="4">
        <v>20052</v>
      </c>
      <c r="C28" s="4" t="s">
        <v>39</v>
      </c>
      <c r="D28" s="37">
        <v>0</v>
      </c>
      <c r="E28" s="4" t="s">
        <v>40</v>
      </c>
      <c r="F28" s="37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42">
        <v>45108</v>
      </c>
    </row>
    <row r="29" spans="1:24">
      <c r="A29" s="4" t="s">
        <v>67</v>
      </c>
      <c r="B29" s="4">
        <v>20054</v>
      </c>
      <c r="C29" s="4" t="s">
        <v>39</v>
      </c>
      <c r="D29" s="37">
        <v>0</v>
      </c>
      <c r="E29" s="4" t="s">
        <v>40</v>
      </c>
      <c r="F29" s="37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42">
        <v>45153</v>
      </c>
    </row>
    <row r="30" spans="1:24">
      <c r="A30" s="4" t="s">
        <v>68</v>
      </c>
      <c r="B30" s="4">
        <v>20058</v>
      </c>
      <c r="C30" s="4" t="s">
        <v>39</v>
      </c>
      <c r="D30" s="37">
        <v>0</v>
      </c>
      <c r="E30" s="4" t="s">
        <v>40</v>
      </c>
      <c r="F30" s="37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42">
        <v>45150</v>
      </c>
    </row>
    <row r="31" spans="1:24">
      <c r="A31" s="4" t="s">
        <v>69</v>
      </c>
      <c r="B31" s="4">
        <v>20060</v>
      </c>
      <c r="C31" s="4" t="s">
        <v>39</v>
      </c>
      <c r="D31" s="37">
        <v>0</v>
      </c>
      <c r="E31" s="4" t="s">
        <v>40</v>
      </c>
      <c r="F31" s="37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42">
        <v>45157</v>
      </c>
    </row>
    <row r="32" spans="1:24">
      <c r="A32" s="4" t="s">
        <v>70</v>
      </c>
      <c r="B32" s="4">
        <v>21000</v>
      </c>
      <c r="C32" s="4" t="s">
        <v>39</v>
      </c>
      <c r="D32" s="37">
        <v>0</v>
      </c>
      <c r="E32" s="4" t="s">
        <v>40</v>
      </c>
      <c r="F32" s="37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42">
        <v>45143</v>
      </c>
    </row>
    <row r="33" spans="1:24">
      <c r="A33" s="4" t="s">
        <v>71</v>
      </c>
      <c r="B33" s="4">
        <v>21002</v>
      </c>
      <c r="C33" s="4" t="s">
        <v>39</v>
      </c>
      <c r="D33" s="37">
        <v>0</v>
      </c>
      <c r="E33" s="4" t="s">
        <v>40</v>
      </c>
      <c r="F33" s="37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42">
        <v>45166</v>
      </c>
    </row>
    <row r="34" spans="1:24">
      <c r="A34" s="4" t="s">
        <v>72</v>
      </c>
      <c r="B34" s="4">
        <v>21004</v>
      </c>
      <c r="C34" s="4" t="s">
        <v>39</v>
      </c>
      <c r="D34" s="37">
        <v>0</v>
      </c>
      <c r="E34" s="4" t="s">
        <v>40</v>
      </c>
      <c r="F34" s="37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42">
        <v>45162</v>
      </c>
    </row>
    <row r="35" spans="1:24">
      <c r="A35" s="4" t="s">
        <v>73</v>
      </c>
      <c r="B35" s="4">
        <v>21006</v>
      </c>
      <c r="C35" s="4" t="s">
        <v>39</v>
      </c>
      <c r="D35" s="37">
        <v>0</v>
      </c>
      <c r="E35" s="4" t="s">
        <v>40</v>
      </c>
      <c r="F35" s="37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42">
        <v>45160</v>
      </c>
    </row>
    <row r="36" spans="1:24">
      <c r="A36" s="4" t="s">
        <v>74</v>
      </c>
      <c r="B36" s="4">
        <v>21008</v>
      </c>
      <c r="C36" s="4" t="s">
        <v>39</v>
      </c>
      <c r="D36" s="37">
        <v>0</v>
      </c>
      <c r="E36" s="4" t="s">
        <v>40</v>
      </c>
      <c r="F36" s="37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42">
        <v>45179</v>
      </c>
    </row>
    <row r="37" spans="1:24">
      <c r="A37" s="4" t="s">
        <v>75</v>
      </c>
      <c r="B37" s="4">
        <v>21010</v>
      </c>
      <c r="C37" s="4" t="s">
        <v>39</v>
      </c>
      <c r="D37" s="37">
        <v>0</v>
      </c>
      <c r="E37" s="4" t="s">
        <v>40</v>
      </c>
      <c r="F37" s="37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42">
        <v>45157</v>
      </c>
    </row>
    <row r="38" spans="1:24">
      <c r="A38" s="4" t="s">
        <v>76</v>
      </c>
      <c r="B38" s="4">
        <v>21012</v>
      </c>
      <c r="C38" s="4" t="s">
        <v>39</v>
      </c>
      <c r="D38" s="37">
        <v>0</v>
      </c>
      <c r="E38" s="4" t="s">
        <v>40</v>
      </c>
      <c r="F38" s="37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42">
        <v>45143</v>
      </c>
    </row>
    <row r="39" spans="1:24">
      <c r="A39" s="4" t="s">
        <v>77</v>
      </c>
      <c r="B39" s="4">
        <v>21014</v>
      </c>
      <c r="C39" s="4" t="s">
        <v>39</v>
      </c>
      <c r="D39" s="37">
        <v>0</v>
      </c>
      <c r="E39" s="4" t="s">
        <v>40</v>
      </c>
      <c r="F39" s="37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42">
        <v>45166</v>
      </c>
    </row>
    <row r="40" spans="1:24">
      <c r="A40" s="4" t="s">
        <v>78</v>
      </c>
      <c r="B40" s="4">
        <v>21016</v>
      </c>
      <c r="C40" s="4" t="s">
        <v>39</v>
      </c>
      <c r="D40" s="37">
        <v>0</v>
      </c>
      <c r="E40" s="4" t="s">
        <v>40</v>
      </c>
      <c r="F40" s="37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42">
        <v>45162</v>
      </c>
    </row>
  </sheetData>
  <conditionalFormatting sqref="A$1:A$1048576">
    <cfRule type="duplicateValues" dxfId="0" priority="13"/>
  </conditionalFormatting>
  <conditionalFormatting sqref="B$1:B$1048576">
    <cfRule type="duplicateValues" dxfId="0" priority="12"/>
  </conditionalFormatting>
  <conditionalFormatting sqref="G$1:G$1048576 H$1:H$1048576 I$1:I$1048576 J$1:J$1048576 K$1:K$1048576 L$1:L$1048576 M$1:M$1048576 N$1:N$1048576 O$1:O$1048576 P$1:P$1048576 Q$1:Q$1048576 R$1:R$1048576 S$1:S$1048576 T$1:T$1048576 U$1:U$1048576 V$1:V$1048576 W$1:W$1048576">
    <cfRule type="cellIs" dxfId="1" priority="11" operator="equal">
      <formula>-1</formula>
    </cfRule>
    <cfRule type="cellIs" dxfId="2" priority="10" operator="equal">
      <formula>93.55</formula>
    </cfRule>
    <cfRule type="cellIs" dxfId="3" priority="9" operator="equal">
      <formula>-1</formula>
    </cfRule>
    <cfRule type="cellIs" dxfId="4" priority="8" operator="equal">
      <formula>-1</formula>
    </cfRule>
    <cfRule type="cellIs" dxfId="3" priority="7" operator="equal">
      <formula>93.55</formula>
    </cfRule>
  </conditionalFormatting>
  <conditionalFormatting sqref="W$1:W$1048576 V$1:V$1048576 U$1:U$1048576 T$1:T$1048576 S$1:S$1048576 M$1:M$1048576 N$1:N$1048576 L$1:L$1048576 K$1:K$1048576 J$1:J$1048576 O$1:O$1048576 P$1:P$1048576 Q$1:Q$1048576 R$1:R$1048576 I$1:I$1048576 H$1:H$1048576 G$1:G$1048576">
    <cfRule type="cellIs" dxfId="5" priority="6" operator="equal">
      <formula>-1</formula>
    </cfRule>
  </conditionalFormatting>
  <conditionalFormatting sqref="G$1:I$1048576">
    <cfRule type="cellIs" dxfId="1" priority="1" operator="equal">
      <formula>-1</formula>
    </cfRule>
  </conditionalFormatting>
  <conditionalFormatting sqref="J$1:W$1048576">
    <cfRule type="cellIs" dxfId="3" priority="4" operator="equal">
      <formula>-1</formula>
    </cfRule>
    <cfRule type="cellIs" dxfId="1" priority="3" operator="equal">
      <formula>-1</formula>
    </cfRule>
    <cfRule type="cellIs" dxfId="6" priority="2" operator="equal">
      <formula>0</formula>
    </cfRule>
  </conditionalFormatting>
  <conditionalFormatting sqref="W$1:W$1048576 V$1:V$1048576 U$1:U$1048576 T$1:T$1048576 S$1:S$1048576 R$1:R$1048576 Q$1:Q$1048576 P$1:P$1048576 O$1:O$1048576 N$1:N$1048576 M$1:M$1048576">
    <cfRule type="cellIs" dxfId="6" priority="5" operator="equal">
      <formula>0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topLeftCell="B1" workbookViewId="0">
      <selection activeCell="B12" sqref="B12"/>
    </sheetView>
  </sheetViews>
  <sheetFormatPr defaultColWidth="11" defaultRowHeight="15" outlineLevelCol="4"/>
  <cols>
    <col min="1" max="1" width="8.4" style="4" customWidth="1"/>
    <col min="2" max="2" width="65.8" style="4" customWidth="1"/>
    <col min="3" max="3" width="27.6" style="4" customWidth="1"/>
    <col min="4" max="4" width="11" style="4"/>
    <col min="5" max="5" width="14.4" style="4" customWidth="1"/>
    <col min="6" max="16384" width="11" style="4"/>
  </cols>
  <sheetData>
    <row r="1" spans="1:5">
      <c r="A1" s="33" t="s">
        <v>79</v>
      </c>
      <c r="B1" s="33" t="s">
        <v>80</v>
      </c>
      <c r="C1" s="33" t="s">
        <v>81</v>
      </c>
      <c r="E1" s="33" t="s">
        <v>82</v>
      </c>
    </row>
    <row r="2" spans="1:3">
      <c r="A2" s="1"/>
      <c r="B2" s="34" t="s">
        <v>83</v>
      </c>
      <c r="C2" s="1"/>
    </row>
    <row r="3" spans="1:5">
      <c r="A3" s="35">
        <v>1</v>
      </c>
      <c r="B3" s="1" t="s">
        <v>84</v>
      </c>
      <c r="C3" s="1" t="s">
        <v>85</v>
      </c>
      <c r="E3" s="4">
        <v>5</v>
      </c>
    </row>
    <row r="4" spans="1:5">
      <c r="A4" s="35">
        <v>2</v>
      </c>
      <c r="B4" s="1" t="s">
        <v>86</v>
      </c>
      <c r="C4" s="1"/>
      <c r="E4" s="4">
        <v>5</v>
      </c>
    </row>
    <row r="5" spans="1:5">
      <c r="A5" s="35">
        <v>3</v>
      </c>
      <c r="B5" s="1" t="s">
        <v>87</v>
      </c>
      <c r="C5" s="36" t="s">
        <v>88</v>
      </c>
      <c r="E5" s="4">
        <v>10</v>
      </c>
    </row>
    <row r="6" spans="1:5">
      <c r="A6" s="35">
        <v>4</v>
      </c>
      <c r="B6" s="1" t="s">
        <v>89</v>
      </c>
      <c r="C6" s="1" t="str">
        <f>TEXT(X2,"YYYY-MM-DD")</f>
        <v>1900-01-00</v>
      </c>
      <c r="E6" s="4">
        <v>5</v>
      </c>
    </row>
    <row r="7" ht="12.75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workbookViewId="0">
      <selection activeCell="B2" sqref="B2"/>
    </sheetView>
  </sheetViews>
  <sheetFormatPr defaultColWidth="11" defaultRowHeight="12.75" outlineLevelCol="6"/>
  <cols>
    <col min="1" max="1" width="18.6" style="1" customWidth="1"/>
    <col min="2" max="6" width="15.4" style="1" customWidth="1"/>
    <col min="7" max="7" width="11" style="1"/>
    <col min="8" max="8" width="14.4" style="1" customWidth="1"/>
    <col min="9" max="16384" width="11" style="1"/>
  </cols>
  <sheetData>
    <row r="1" s="3" customFormat="1" ht="21" spans="1:2">
      <c r="A1" s="2" t="s">
        <v>9</v>
      </c>
      <c r="B1" s="3" t="s">
        <v>90</v>
      </c>
    </row>
    <row r="2" s="3" customFormat="1" ht="21" spans="2:2">
      <c r="B2" s="3" t="s">
        <v>91</v>
      </c>
    </row>
    <row r="3" ht="15" spans="1:7">
      <c r="A3" s="4"/>
      <c r="B3" s="4"/>
      <c r="C3" s="4"/>
      <c r="D3" s="4"/>
      <c r="E3" s="4"/>
      <c r="F3" s="4"/>
      <c r="G3" s="4"/>
    </row>
    <row r="4" ht="23.25" spans="1:7">
      <c r="A4" s="7" t="s">
        <v>92</v>
      </c>
      <c r="B4" s="4"/>
      <c r="C4" s="4"/>
      <c r="D4" s="4"/>
      <c r="E4" s="4"/>
      <c r="F4" s="4"/>
      <c r="G4" s="4"/>
    </row>
    <row r="5" ht="15" spans="1:6">
      <c r="A5" s="27" t="s">
        <v>14</v>
      </c>
      <c r="B5" s="28" t="s">
        <v>20</v>
      </c>
      <c r="C5" s="29" t="s">
        <v>27</v>
      </c>
      <c r="D5" s="28" t="s">
        <v>31</v>
      </c>
      <c r="E5" s="29" t="s">
        <v>33</v>
      </c>
      <c r="F5" s="30" t="s">
        <v>35</v>
      </c>
    </row>
    <row r="6" ht="15" spans="1:6">
      <c r="A6" s="13" t="s">
        <v>38</v>
      </c>
      <c r="B6" s="14">
        <f>Dataset!G2</f>
        <v>2.7</v>
      </c>
      <c r="C6" s="14">
        <f>Dataset!N2</f>
        <v>9.7</v>
      </c>
      <c r="D6" s="14">
        <f>Dataset!R2</f>
        <v>13.7</v>
      </c>
      <c r="E6" s="14">
        <f>Dataset!T2</f>
        <v>15.7</v>
      </c>
      <c r="F6" s="31">
        <f>Dataset!V2</f>
        <v>17.7</v>
      </c>
    </row>
    <row r="7" ht="15" spans="1:6">
      <c r="A7" s="13" t="s">
        <v>41</v>
      </c>
      <c r="B7" s="14">
        <f>Dataset!G3</f>
        <v>2.7</v>
      </c>
      <c r="C7" s="14">
        <f>Dataset!N3</f>
        <v>7.6</v>
      </c>
      <c r="D7" s="14">
        <f>Dataset!R3</f>
        <v>4.2</v>
      </c>
      <c r="E7" s="14">
        <f>Dataset!T3</f>
        <v>8.9</v>
      </c>
      <c r="F7" s="31">
        <f>Dataset!V3</f>
        <v>4.2</v>
      </c>
    </row>
    <row r="8" ht="15" spans="1:6">
      <c r="A8" s="13" t="s">
        <v>42</v>
      </c>
      <c r="B8" s="14">
        <f>Dataset!G4</f>
        <v>3.6</v>
      </c>
      <c r="C8" s="14">
        <f>Dataset!N4</f>
        <v>11.1</v>
      </c>
      <c r="D8" s="14">
        <f>Dataset!R4</f>
        <v>5.8</v>
      </c>
      <c r="E8" s="14">
        <f>Dataset!T4</f>
        <v>12.2</v>
      </c>
      <c r="F8" s="31">
        <f>Dataset!V4</f>
        <v>5.8</v>
      </c>
    </row>
    <row r="9" ht="15" spans="1:6">
      <c r="A9" s="13" t="s">
        <v>43</v>
      </c>
      <c r="B9" s="14">
        <f>Dataset!G5</f>
        <v>4.9</v>
      </c>
      <c r="C9" s="14">
        <f>Dataset!N5</f>
        <v>13.3</v>
      </c>
      <c r="D9" s="14">
        <f>Dataset!R5</f>
        <v>8.1</v>
      </c>
      <c r="E9" s="14">
        <f>Dataset!T5</f>
        <v>17</v>
      </c>
      <c r="F9" s="31">
        <f>Dataset!V5</f>
        <v>8.1</v>
      </c>
    </row>
    <row r="10" ht="15" spans="1:6">
      <c r="A10" s="13" t="s">
        <v>46</v>
      </c>
      <c r="B10" s="14">
        <f>Dataset!G8</f>
        <v>9.4</v>
      </c>
      <c r="C10" s="14">
        <f>Dataset!N8</f>
        <v>28.3</v>
      </c>
      <c r="D10" s="14">
        <f>Dataset!R8</f>
        <v>16.1</v>
      </c>
      <c r="E10" s="14">
        <f>Dataset!T8</f>
        <v>32.8</v>
      </c>
      <c r="F10" s="31">
        <f>Dataset!V8</f>
        <v>16.1</v>
      </c>
    </row>
    <row r="11" ht="15" spans="1:6">
      <c r="A11" s="13" t="s">
        <v>47</v>
      </c>
      <c r="B11" s="14">
        <f>Dataset!G9</f>
        <v>11.6</v>
      </c>
      <c r="C11" s="14">
        <f>Dataset!N9</f>
        <v>35.2</v>
      </c>
      <c r="D11" s="14">
        <f>Dataset!R9</f>
        <v>21.3</v>
      </c>
      <c r="E11" s="14">
        <f>Dataset!T9</f>
        <v>43</v>
      </c>
      <c r="F11" s="31">
        <f>Dataset!V9</f>
        <v>21.3</v>
      </c>
    </row>
    <row r="12" ht="15" spans="1:6">
      <c r="A12" s="13" t="s">
        <v>49</v>
      </c>
      <c r="B12" s="14">
        <f>Dataset!G10</f>
        <v>16.1</v>
      </c>
      <c r="C12" s="14">
        <f>Dataset!N10</f>
        <v>49</v>
      </c>
      <c r="D12" s="14">
        <f>Dataset!R10</f>
        <v>29.1</v>
      </c>
      <c r="E12" s="14">
        <f>Dataset!T10</f>
        <v>59</v>
      </c>
      <c r="F12" s="31">
        <f>Dataset!V10</f>
        <v>29.1</v>
      </c>
    </row>
    <row r="13" ht="15" spans="1:6">
      <c r="A13" s="13" t="s">
        <v>50</v>
      </c>
      <c r="B13" s="14">
        <f>Dataset!G12</f>
        <v>0</v>
      </c>
      <c r="C13" s="14">
        <f>Dataset!N12</f>
        <v>0</v>
      </c>
      <c r="D13" s="14">
        <f>Dataset!R12</f>
        <v>0</v>
      </c>
      <c r="E13" s="14">
        <f>Dataset!T12</f>
        <v>0</v>
      </c>
      <c r="F13" s="31">
        <f>Dataset!V12</f>
        <v>0</v>
      </c>
    </row>
    <row r="14" ht="15" spans="1:6">
      <c r="A14" s="13" t="s">
        <v>51</v>
      </c>
      <c r="B14" s="14">
        <f>Dataset!G13</f>
        <v>21.9</v>
      </c>
      <c r="C14" s="14">
        <f>Dataset!N13</f>
        <v>61.5</v>
      </c>
      <c r="D14" s="14">
        <f>Dataset!R13</f>
        <v>40.1</v>
      </c>
      <c r="E14" s="14">
        <f>Dataset!T13</f>
        <v>76.6</v>
      </c>
      <c r="F14" s="31">
        <f>Dataset!V13</f>
        <v>40.1</v>
      </c>
    </row>
    <row r="15" ht="15" spans="1:6">
      <c r="A15" s="13" t="s">
        <v>53</v>
      </c>
      <c r="B15" s="14">
        <f>Dataset!G15</f>
        <v>26.8</v>
      </c>
      <c r="C15" s="14">
        <f>Dataset!N15</f>
        <v>79.6</v>
      </c>
      <c r="D15" s="14">
        <f>Dataset!R15</f>
        <v>47.9</v>
      </c>
      <c r="E15" s="14">
        <f>Dataset!T15</f>
        <v>96.8</v>
      </c>
      <c r="F15" s="31">
        <f>Dataset!V15</f>
        <v>47.9</v>
      </c>
    </row>
    <row r="16" ht="15" spans="1:6">
      <c r="A16" s="13" t="s">
        <v>55</v>
      </c>
      <c r="B16" s="14">
        <f>Dataset!G17</f>
        <v>28.5</v>
      </c>
      <c r="C16" s="14">
        <f>Dataset!N17</f>
        <v>85.4</v>
      </c>
      <c r="D16" s="14">
        <f>Dataset!R17</f>
        <v>52.3</v>
      </c>
      <c r="E16" s="14">
        <f>Dataset!T17</f>
        <v>106.1</v>
      </c>
      <c r="F16" s="31">
        <f>Dataset!V17</f>
        <v>52.3</v>
      </c>
    </row>
    <row r="17" ht="15" spans="1:6">
      <c r="A17" s="13" t="s">
        <v>57</v>
      </c>
      <c r="B17" s="14">
        <f>Dataset!G19</f>
        <v>30.7</v>
      </c>
      <c r="C17" s="14">
        <f>Dataset!N19</f>
        <v>92.1</v>
      </c>
      <c r="D17" s="14">
        <f>Dataset!R19</f>
        <v>57</v>
      </c>
      <c r="E17" s="14">
        <f>Dataset!T19</f>
        <v>115.1</v>
      </c>
      <c r="F17" s="31">
        <f>Dataset!V19</f>
        <v>57</v>
      </c>
    </row>
    <row r="18" ht="15" spans="1:6">
      <c r="A18" s="13" t="s">
        <v>58</v>
      </c>
      <c r="B18" s="14">
        <f>Dataset!G20</f>
        <v>33.8</v>
      </c>
      <c r="C18" s="14">
        <f>Dataset!N20</f>
        <v>101.3</v>
      </c>
      <c r="D18" s="14">
        <f>Dataset!R20</f>
        <v>61.4</v>
      </c>
      <c r="E18" s="14">
        <f>Dataset!T20</f>
        <v>124.4</v>
      </c>
      <c r="F18" s="31">
        <f>Dataset!V20</f>
        <v>61.4</v>
      </c>
    </row>
    <row r="19" ht="15" spans="1:6">
      <c r="A19" s="13" t="s">
        <v>59</v>
      </c>
      <c r="B19" s="14">
        <f>Dataset!G21</f>
        <v>34.7</v>
      </c>
      <c r="C19" s="14">
        <f>Dataset!N21</f>
        <v>106.1</v>
      </c>
      <c r="D19" s="14">
        <f>Dataset!R21</f>
        <v>63.6</v>
      </c>
      <c r="E19" s="14">
        <f>Dataset!T21</f>
        <v>128.6</v>
      </c>
      <c r="F19" s="31">
        <f>Dataset!V21</f>
        <v>63.6</v>
      </c>
    </row>
    <row r="20" ht="15" spans="1:6">
      <c r="A20" s="13" t="s">
        <v>64</v>
      </c>
      <c r="B20" s="14">
        <f>Dataset!G26</f>
        <v>0</v>
      </c>
      <c r="C20" s="14">
        <f>Dataset!N26</f>
        <v>0</v>
      </c>
      <c r="D20" s="14">
        <f>Dataset!R26</f>
        <v>0</v>
      </c>
      <c r="E20" s="14">
        <f>Dataset!T26</f>
        <v>0</v>
      </c>
      <c r="F20" s="31">
        <f>Dataset!V26</f>
        <v>0</v>
      </c>
    </row>
    <row r="21" ht="15" spans="1:6">
      <c r="A21" s="13" t="s">
        <v>65</v>
      </c>
      <c r="B21" s="14">
        <f>Dataset!G27</f>
        <v>41.3</v>
      </c>
      <c r="C21" s="14">
        <f>Dataset!N27</f>
        <v>124.4</v>
      </c>
      <c r="D21" s="14">
        <f>Dataset!R27</f>
        <v>75</v>
      </c>
      <c r="E21" s="14">
        <f>Dataset!T27</f>
        <v>151.5</v>
      </c>
      <c r="F21" s="31">
        <f>Dataset!V27</f>
        <v>75</v>
      </c>
    </row>
    <row r="22" ht="15" spans="1:6">
      <c r="A22" s="13" t="s">
        <v>68</v>
      </c>
      <c r="B22" s="14">
        <f>Dataset!G30</f>
        <v>-1</v>
      </c>
      <c r="C22" s="14">
        <f>Dataset!N30</f>
        <v>-1</v>
      </c>
      <c r="D22" s="14">
        <f>Dataset!R30</f>
        <v>-1</v>
      </c>
      <c r="E22" s="1">
        <f>Dataset!T30</f>
        <v>-1</v>
      </c>
      <c r="F22" s="31">
        <f>Dataset!V30</f>
        <v>-1</v>
      </c>
    </row>
    <row r="23" ht="15" spans="1:6">
      <c r="A23" s="13" t="s">
        <v>69</v>
      </c>
      <c r="B23" s="14">
        <f>Dataset!G31</f>
        <v>45</v>
      </c>
      <c r="C23" s="14">
        <f>Dataset!N31</f>
        <v>133.4</v>
      </c>
      <c r="D23" s="14">
        <f>Dataset!R31</f>
        <v>79.4</v>
      </c>
      <c r="E23" s="1">
        <f>Dataset!T31</f>
        <v>160.9</v>
      </c>
      <c r="F23" s="31">
        <f>Dataset!V31</f>
        <v>79.4</v>
      </c>
    </row>
    <row r="24" ht="15" spans="1:6">
      <c r="A24" s="13" t="s">
        <v>70</v>
      </c>
      <c r="B24" s="14">
        <f>Dataset!G32</f>
        <v>-1</v>
      </c>
      <c r="C24" s="14">
        <f>Dataset!N32</f>
        <v>-1</v>
      </c>
      <c r="D24" s="14">
        <f>Dataset!R32</f>
        <v>-1</v>
      </c>
      <c r="E24" s="1">
        <f>Dataset!T32</f>
        <v>-1</v>
      </c>
      <c r="F24" s="31">
        <f>Dataset!V32</f>
        <v>-1</v>
      </c>
    </row>
    <row r="25" ht="15" spans="1:6">
      <c r="A25" s="13" t="s">
        <v>72</v>
      </c>
      <c r="B25" s="14">
        <f>Dataset!G34</f>
        <v>43.3</v>
      </c>
      <c r="C25" s="14">
        <f>Dataset!N34</f>
        <v>128.6</v>
      </c>
      <c r="D25" s="14">
        <f>Dataset!R34</f>
        <v>79.4</v>
      </c>
      <c r="E25" s="14">
        <f>Dataset!T34</f>
        <v>160.9</v>
      </c>
      <c r="F25" s="31">
        <f>Dataset!V34</f>
        <v>79.4</v>
      </c>
    </row>
    <row r="26" ht="15" spans="1:6">
      <c r="A26" s="13" t="s">
        <v>76</v>
      </c>
      <c r="B26" s="14">
        <f>Dataset!R38</f>
        <v>90.9</v>
      </c>
      <c r="C26" s="14">
        <f>Dataset!N38</f>
        <v>146.8</v>
      </c>
      <c r="D26" s="14">
        <f>Dataset!R38</f>
        <v>90.9</v>
      </c>
      <c r="E26" s="14">
        <f>Dataset!T38</f>
        <v>183.5</v>
      </c>
      <c r="F26" s="31">
        <f>Dataset!V38</f>
        <v>90.9</v>
      </c>
    </row>
    <row r="27" ht="15" spans="1:6">
      <c r="A27" s="13" t="s">
        <v>78</v>
      </c>
      <c r="B27" s="14">
        <f>Dataset!G40</f>
        <v>51.8</v>
      </c>
      <c r="C27" s="14">
        <f>Dataset!N40</f>
        <v>156.4</v>
      </c>
      <c r="D27" s="14">
        <f>Dataset!R40</f>
        <v>93.1</v>
      </c>
      <c r="E27" s="14">
        <f>Dataset!T40</f>
        <v>188.1</v>
      </c>
      <c r="F27" s="31">
        <f>Dataset!V40</f>
        <v>93.1</v>
      </c>
    </row>
    <row r="28" ht="15" spans="1:6">
      <c r="A28" s="19" t="s">
        <v>93</v>
      </c>
      <c r="B28" s="32">
        <f>MIN(B6:B27)</f>
        <v>-1</v>
      </c>
      <c r="C28" s="32">
        <f>MIN(C6:C27)</f>
        <v>-1</v>
      </c>
      <c r="D28" s="32">
        <f>MIN(D6:D27)</f>
        <v>-1</v>
      </c>
      <c r="E28" s="32">
        <f>MIN(E6:E27)</f>
        <v>-1</v>
      </c>
      <c r="F28" s="32">
        <f>MIN(F6:F27)</f>
        <v>-1</v>
      </c>
    </row>
    <row r="29" ht="15" spans="1:6">
      <c r="A29" s="19" t="s">
        <v>94</v>
      </c>
      <c r="B29" s="32">
        <f>MAX(B6:B27)</f>
        <v>90.9</v>
      </c>
      <c r="C29" s="32">
        <f>MAX(C6:C27)</f>
        <v>156.4</v>
      </c>
      <c r="D29" s="32">
        <f>MAX(D6:D27)</f>
        <v>93.1</v>
      </c>
      <c r="E29" s="32">
        <f>MAX(E6:E27)</f>
        <v>188.1</v>
      </c>
      <c r="F29" s="32">
        <f>MIN(F6:F27)</f>
        <v>-1</v>
      </c>
    </row>
    <row r="30" ht="15" spans="1:6">
      <c r="A30" s="19" t="s">
        <v>95</v>
      </c>
      <c r="B30" s="32">
        <f>AVERAGE(B6:B27)</f>
        <v>22.6227272727273</v>
      </c>
      <c r="C30" s="32">
        <f>AVERAGE(C6:C27)</f>
        <v>62.1727272727273</v>
      </c>
      <c r="D30" s="32">
        <f>AVERAGE(D6:D27)</f>
        <v>38.0181818181818</v>
      </c>
      <c r="E30" s="32">
        <f>AVERAGE(E6:E27)</f>
        <v>76.3227272727273</v>
      </c>
      <c r="F30" s="32">
        <f>AVERAGE(F6:F27)</f>
        <v>38.2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4"/>
  <sheetViews>
    <sheetView zoomScale="85" zoomScaleNormal="85" workbookViewId="0">
      <selection activeCell="C8" sqref="C8"/>
    </sheetView>
  </sheetViews>
  <sheetFormatPr defaultColWidth="11" defaultRowHeight="15"/>
  <cols>
    <col min="1" max="1" width="39.8" style="4" customWidth="1"/>
    <col min="2" max="16384" width="11" style="4"/>
  </cols>
  <sheetData>
    <row r="1" s="3" customFormat="1" ht="21" spans="1:2">
      <c r="A1" s="2" t="s">
        <v>10</v>
      </c>
      <c r="B1" s="3" t="s">
        <v>96</v>
      </c>
    </row>
    <row r="2" customFormat="1" ht="12.75"/>
    <row r="3" s="1" customFormat="1" spans="2:2">
      <c r="B3" s="4"/>
    </row>
    <row r="4" s="1" customFormat="1" spans="2:2">
      <c r="B4" s="4" t="s">
        <v>97</v>
      </c>
    </row>
    <row r="5" ht="18.75" spans="1:2">
      <c r="A5" s="5" t="s">
        <v>98</v>
      </c>
      <c r="B5" s="20"/>
    </row>
    <row r="6" ht="18.75" spans="1:2">
      <c r="A6" s="5" t="s">
        <v>99</v>
      </c>
      <c r="B6" s="20" t="s">
        <v>100</v>
      </c>
    </row>
    <row r="7" ht="18.75" spans="1:2">
      <c r="A7" s="5"/>
      <c r="B7" s="20"/>
    </row>
    <row r="9" ht="23.25" spans="1:10">
      <c r="A9" s="7" t="s">
        <v>101</v>
      </c>
      <c r="I9" s="1"/>
      <c r="J9" s="1"/>
    </row>
    <row r="10" spans="1:10">
      <c r="A10" s="23" t="s">
        <v>102</v>
      </c>
      <c r="B10" s="11" t="s">
        <v>103</v>
      </c>
      <c r="C10" s="11" t="s">
        <v>104</v>
      </c>
      <c r="D10" s="11" t="s">
        <v>105</v>
      </c>
      <c r="E10" s="11" t="s">
        <v>106</v>
      </c>
      <c r="F10" s="11" t="s">
        <v>107</v>
      </c>
      <c r="I10" s="1"/>
      <c r="J10" s="1"/>
    </row>
    <row r="11" spans="1:10">
      <c r="A11" s="16" t="s">
        <v>108</v>
      </c>
      <c r="B11" s="17">
        <v>20000</v>
      </c>
      <c r="C11" s="17" t="s">
        <v>39</v>
      </c>
      <c r="D11" s="17">
        <v>0</v>
      </c>
      <c r="E11" s="24" t="s">
        <v>40</v>
      </c>
      <c r="F11" s="24">
        <v>24</v>
      </c>
      <c r="I11" s="1"/>
      <c r="J11" s="1"/>
    </row>
    <row r="14" ht="23.25" spans="1:1">
      <c r="A14" s="7" t="s">
        <v>92</v>
      </c>
    </row>
    <row r="15" spans="1:6">
      <c r="A15" s="10" t="s">
        <v>109</v>
      </c>
      <c r="B15" s="11" t="s">
        <v>103</v>
      </c>
      <c r="C15" s="25" t="s">
        <v>104</v>
      </c>
      <c r="D15" s="11" t="s">
        <v>105</v>
      </c>
      <c r="E15" s="25" t="s">
        <v>106</v>
      </c>
      <c r="F15" s="11" t="s">
        <v>107</v>
      </c>
    </row>
    <row r="16" spans="1:6">
      <c r="A16" s="13" t="s">
        <v>108</v>
      </c>
      <c r="B16" s="14">
        <v>20000</v>
      </c>
      <c r="C16" s="4" t="s">
        <v>39</v>
      </c>
      <c r="D16" s="14">
        <v>0</v>
      </c>
      <c r="E16" s="4" t="s">
        <v>40</v>
      </c>
      <c r="F16" s="14">
        <v>24</v>
      </c>
    </row>
    <row r="17" spans="1:6">
      <c r="A17" s="13" t="s">
        <v>110</v>
      </c>
      <c r="B17" s="14">
        <v>20002</v>
      </c>
      <c r="C17" s="4" t="s">
        <v>39</v>
      </c>
      <c r="D17" s="14">
        <v>0</v>
      </c>
      <c r="E17" s="4" t="s">
        <v>40</v>
      </c>
      <c r="F17" s="14">
        <v>24</v>
      </c>
    </row>
    <row r="18" spans="1:6">
      <c r="A18" s="13" t="s">
        <v>111</v>
      </c>
      <c r="B18" s="14">
        <v>20004</v>
      </c>
      <c r="C18" s="4" t="s">
        <v>39</v>
      </c>
      <c r="D18" s="14">
        <v>0</v>
      </c>
      <c r="E18" s="4" t="s">
        <v>40</v>
      </c>
      <c r="F18" s="14">
        <v>24</v>
      </c>
    </row>
    <row r="19" spans="1:6">
      <c r="A19" s="13" t="s">
        <v>112</v>
      </c>
      <c r="B19" s="14">
        <v>20006</v>
      </c>
      <c r="C19" s="4" t="s">
        <v>39</v>
      </c>
      <c r="D19" s="14">
        <v>0</v>
      </c>
      <c r="E19" s="4" t="s">
        <v>40</v>
      </c>
      <c r="F19" s="14">
        <v>24</v>
      </c>
    </row>
    <row r="20" spans="1:6">
      <c r="A20" s="13" t="s">
        <v>113</v>
      </c>
      <c r="B20" s="14">
        <v>20008</v>
      </c>
      <c r="C20" s="4" t="s">
        <v>39</v>
      </c>
      <c r="D20" s="14">
        <v>0</v>
      </c>
      <c r="E20" s="4" t="s">
        <v>40</v>
      </c>
      <c r="F20" s="14">
        <v>24</v>
      </c>
    </row>
    <row r="21" spans="1:6">
      <c r="A21" s="13" t="s">
        <v>114</v>
      </c>
      <c r="B21" s="14">
        <v>20010</v>
      </c>
      <c r="C21" s="4" t="s">
        <v>39</v>
      </c>
      <c r="D21" s="14">
        <v>0</v>
      </c>
      <c r="E21" s="4" t="s">
        <v>40</v>
      </c>
      <c r="F21" s="14">
        <v>24</v>
      </c>
    </row>
    <row r="22" spans="1:6">
      <c r="A22" s="13" t="s">
        <v>115</v>
      </c>
      <c r="B22" s="14">
        <v>20012</v>
      </c>
      <c r="C22" s="4" t="s">
        <v>39</v>
      </c>
      <c r="D22" s="14">
        <v>0</v>
      </c>
      <c r="E22" s="4" t="s">
        <v>40</v>
      </c>
      <c r="F22" s="14">
        <v>24</v>
      </c>
    </row>
    <row r="23" spans="1:6">
      <c r="A23" s="13" t="s">
        <v>116</v>
      </c>
      <c r="B23" s="14">
        <v>20014</v>
      </c>
      <c r="C23" s="4" t="s">
        <v>39</v>
      </c>
      <c r="D23" s="14">
        <v>0</v>
      </c>
      <c r="E23" s="4" t="s">
        <v>40</v>
      </c>
      <c r="F23" s="14">
        <v>24</v>
      </c>
    </row>
    <row r="24" spans="1:6">
      <c r="A24" s="13" t="s">
        <v>117</v>
      </c>
      <c r="B24" s="14">
        <v>20016</v>
      </c>
      <c r="C24" s="4" t="s">
        <v>39</v>
      </c>
      <c r="D24" s="14">
        <v>0</v>
      </c>
      <c r="E24" s="4" t="s">
        <v>40</v>
      </c>
      <c r="F24" s="14">
        <v>24</v>
      </c>
    </row>
    <row r="25" spans="1:6">
      <c r="A25" s="13" t="s">
        <v>118</v>
      </c>
      <c r="B25" s="14">
        <v>20018</v>
      </c>
      <c r="C25" s="4" t="s">
        <v>39</v>
      </c>
      <c r="D25" s="14">
        <v>0</v>
      </c>
      <c r="E25" s="4" t="s">
        <v>40</v>
      </c>
      <c r="F25" s="14">
        <v>24</v>
      </c>
    </row>
    <row r="26" spans="1:6">
      <c r="A26" s="13" t="s">
        <v>119</v>
      </c>
      <c r="B26" s="14">
        <v>20020</v>
      </c>
      <c r="C26" s="4" t="s">
        <v>39</v>
      </c>
      <c r="D26" s="14">
        <v>0</v>
      </c>
      <c r="E26" s="4" t="s">
        <v>40</v>
      </c>
      <c r="F26" s="14">
        <v>24</v>
      </c>
    </row>
    <row r="27" spans="1:6">
      <c r="A27" s="13" t="s">
        <v>120</v>
      </c>
      <c r="B27" s="14">
        <v>20022</v>
      </c>
      <c r="C27" s="4" t="s">
        <v>39</v>
      </c>
      <c r="D27" s="14">
        <v>0</v>
      </c>
      <c r="E27" s="4" t="s">
        <v>40</v>
      </c>
      <c r="F27" s="14">
        <v>24</v>
      </c>
    </row>
    <row r="28" spans="1:6">
      <c r="A28" s="13" t="s">
        <v>121</v>
      </c>
      <c r="B28" s="14">
        <v>20024</v>
      </c>
      <c r="C28" s="4" t="s">
        <v>39</v>
      </c>
      <c r="D28" s="14">
        <v>0</v>
      </c>
      <c r="E28" s="4" t="s">
        <v>40</v>
      </c>
      <c r="F28" s="14">
        <v>24</v>
      </c>
    </row>
    <row r="29" spans="1:6">
      <c r="A29" s="13" t="s">
        <v>122</v>
      </c>
      <c r="B29" s="14">
        <v>20026</v>
      </c>
      <c r="C29" s="4" t="s">
        <v>39</v>
      </c>
      <c r="D29" s="14">
        <v>0</v>
      </c>
      <c r="E29" s="4" t="s">
        <v>40</v>
      </c>
      <c r="F29" s="14">
        <v>24</v>
      </c>
    </row>
    <row r="30" spans="1:6">
      <c r="A30" s="13" t="s">
        <v>123</v>
      </c>
      <c r="B30" s="14">
        <v>20028</v>
      </c>
      <c r="C30" s="4" t="s">
        <v>39</v>
      </c>
      <c r="D30" s="14">
        <v>0</v>
      </c>
      <c r="E30" s="4" t="s">
        <v>40</v>
      </c>
      <c r="F30" s="14">
        <v>24</v>
      </c>
    </row>
    <row r="31" spans="1:6">
      <c r="A31" s="13" t="s">
        <v>124</v>
      </c>
      <c r="B31" s="14">
        <v>20030</v>
      </c>
      <c r="C31" s="4" t="s">
        <v>39</v>
      </c>
      <c r="D31" s="14">
        <v>0</v>
      </c>
      <c r="E31" s="4" t="s">
        <v>40</v>
      </c>
      <c r="F31" s="14">
        <v>24</v>
      </c>
    </row>
    <row r="32" spans="1:6">
      <c r="A32" s="13" t="s">
        <v>125</v>
      </c>
      <c r="B32" s="14">
        <v>20032</v>
      </c>
      <c r="C32" s="4" t="s">
        <v>39</v>
      </c>
      <c r="D32" s="14">
        <v>0</v>
      </c>
      <c r="E32" s="4" t="s">
        <v>40</v>
      </c>
      <c r="F32" s="14">
        <v>24</v>
      </c>
    </row>
    <row r="33" spans="1:6">
      <c r="A33" s="13" t="s">
        <v>126</v>
      </c>
      <c r="B33" s="14">
        <v>20034</v>
      </c>
      <c r="C33" s="4" t="s">
        <v>39</v>
      </c>
      <c r="D33" s="14">
        <v>0</v>
      </c>
      <c r="E33" s="4" t="s">
        <v>40</v>
      </c>
      <c r="F33" s="14">
        <v>24</v>
      </c>
    </row>
    <row r="34" spans="1:6">
      <c r="A34" s="13" t="s">
        <v>127</v>
      </c>
      <c r="B34" s="14">
        <v>20036</v>
      </c>
      <c r="C34" s="4" t="s">
        <v>39</v>
      </c>
      <c r="D34" s="14">
        <v>0</v>
      </c>
      <c r="E34" s="4" t="s">
        <v>40</v>
      </c>
      <c r="F34" s="14">
        <v>24</v>
      </c>
    </row>
    <row r="35" spans="1:6">
      <c r="A35" s="13" t="s">
        <v>128</v>
      </c>
      <c r="B35" s="14">
        <v>20038</v>
      </c>
      <c r="C35" s="4" t="s">
        <v>39</v>
      </c>
      <c r="D35" s="14">
        <v>0</v>
      </c>
      <c r="E35" s="4" t="s">
        <v>40</v>
      </c>
      <c r="F35" s="14">
        <v>24</v>
      </c>
    </row>
    <row r="36" spans="1:6">
      <c r="A36" s="13" t="s">
        <v>129</v>
      </c>
      <c r="B36" s="14">
        <v>20040</v>
      </c>
      <c r="C36" s="4" t="s">
        <v>39</v>
      </c>
      <c r="D36" s="14">
        <v>0</v>
      </c>
      <c r="E36" s="4" t="s">
        <v>40</v>
      </c>
      <c r="F36" s="14">
        <v>24</v>
      </c>
    </row>
    <row r="37" spans="1:6">
      <c r="A37" s="13" t="s">
        <v>130</v>
      </c>
      <c r="B37" s="14">
        <v>20042</v>
      </c>
      <c r="C37" s="4" t="s">
        <v>39</v>
      </c>
      <c r="D37" s="14">
        <v>0</v>
      </c>
      <c r="E37" s="4" t="s">
        <v>40</v>
      </c>
      <c r="F37" s="14">
        <v>24</v>
      </c>
    </row>
    <row r="38" spans="1:6">
      <c r="A38" s="13" t="s">
        <v>131</v>
      </c>
      <c r="B38" s="14">
        <v>20044</v>
      </c>
      <c r="C38" s="4" t="s">
        <v>39</v>
      </c>
      <c r="D38" s="14">
        <v>0</v>
      </c>
      <c r="E38" s="4" t="s">
        <v>40</v>
      </c>
      <c r="F38" s="14">
        <v>24</v>
      </c>
    </row>
    <row r="39" spans="1:6">
      <c r="A39" s="13" t="s">
        <v>132</v>
      </c>
      <c r="B39" s="14">
        <v>20046</v>
      </c>
      <c r="C39" s="4" t="s">
        <v>39</v>
      </c>
      <c r="D39" s="14">
        <v>0</v>
      </c>
      <c r="E39" s="4" t="s">
        <v>40</v>
      </c>
      <c r="F39" s="14">
        <v>24</v>
      </c>
    </row>
    <row r="40" spans="1:6">
      <c r="A40" s="13" t="s">
        <v>133</v>
      </c>
      <c r="B40" s="14">
        <v>20048</v>
      </c>
      <c r="C40" s="4" t="s">
        <v>39</v>
      </c>
      <c r="D40" s="14">
        <v>0</v>
      </c>
      <c r="E40" s="4" t="s">
        <v>40</v>
      </c>
      <c r="F40" s="14">
        <v>24</v>
      </c>
    </row>
    <row r="41" spans="1:6">
      <c r="A41" s="13" t="s">
        <v>134</v>
      </c>
      <c r="B41" s="14">
        <v>20050</v>
      </c>
      <c r="C41" s="4" t="s">
        <v>39</v>
      </c>
      <c r="D41" s="14">
        <v>0</v>
      </c>
      <c r="E41" s="4" t="s">
        <v>40</v>
      </c>
      <c r="F41" s="14">
        <v>24</v>
      </c>
    </row>
    <row r="42" spans="1:6">
      <c r="A42" s="13" t="s">
        <v>135</v>
      </c>
      <c r="B42" s="14">
        <v>20052</v>
      </c>
      <c r="C42" s="4" t="s">
        <v>39</v>
      </c>
      <c r="D42" s="14">
        <v>0</v>
      </c>
      <c r="E42" s="4" t="s">
        <v>40</v>
      </c>
      <c r="F42" s="14">
        <v>24</v>
      </c>
    </row>
    <row r="43" spans="1:6">
      <c r="A43" s="13" t="s">
        <v>136</v>
      </c>
      <c r="B43" s="14">
        <v>20054</v>
      </c>
      <c r="C43" s="4" t="s">
        <v>39</v>
      </c>
      <c r="D43" s="14">
        <v>0</v>
      </c>
      <c r="E43" s="4" t="s">
        <v>40</v>
      </c>
      <c r="F43" s="14">
        <v>24</v>
      </c>
    </row>
    <row r="44" spans="1:6">
      <c r="A44" s="13" t="s">
        <v>137</v>
      </c>
      <c r="B44" s="14">
        <v>20058</v>
      </c>
      <c r="C44" s="4" t="s">
        <v>39</v>
      </c>
      <c r="D44" s="14">
        <v>0</v>
      </c>
      <c r="E44" s="4" t="s">
        <v>40</v>
      </c>
      <c r="F44" s="14">
        <v>24</v>
      </c>
    </row>
    <row r="45" spans="1:6">
      <c r="A45" s="13" t="s">
        <v>138</v>
      </c>
      <c r="B45" s="14">
        <v>20060</v>
      </c>
      <c r="C45" s="4" t="s">
        <v>39</v>
      </c>
      <c r="D45" s="14">
        <v>0</v>
      </c>
      <c r="E45" s="4" t="s">
        <v>40</v>
      </c>
      <c r="F45" s="14">
        <v>24</v>
      </c>
    </row>
    <row r="46" spans="1:6">
      <c r="A46" s="13" t="s">
        <v>139</v>
      </c>
      <c r="B46" s="14">
        <v>21000</v>
      </c>
      <c r="C46" s="4" t="s">
        <v>39</v>
      </c>
      <c r="D46" s="14">
        <v>0</v>
      </c>
      <c r="E46" s="4" t="s">
        <v>40</v>
      </c>
      <c r="F46" s="14">
        <v>24</v>
      </c>
    </row>
    <row r="47" spans="1:6">
      <c r="A47" s="13" t="s">
        <v>140</v>
      </c>
      <c r="B47" s="14">
        <v>21002</v>
      </c>
      <c r="C47" s="4" t="s">
        <v>39</v>
      </c>
      <c r="D47" s="14">
        <v>0</v>
      </c>
      <c r="E47" s="4" t="s">
        <v>40</v>
      </c>
      <c r="F47" s="14">
        <v>24</v>
      </c>
    </row>
    <row r="48" spans="1:6">
      <c r="A48" s="13" t="s">
        <v>141</v>
      </c>
      <c r="B48" s="14">
        <v>21004</v>
      </c>
      <c r="C48" s="4" t="s">
        <v>39</v>
      </c>
      <c r="D48" s="14">
        <v>0</v>
      </c>
      <c r="E48" s="4" t="s">
        <v>40</v>
      </c>
      <c r="F48" s="14">
        <v>24</v>
      </c>
    </row>
    <row r="49" spans="1:6">
      <c r="A49" s="13" t="s">
        <v>142</v>
      </c>
      <c r="B49" s="14">
        <v>21006</v>
      </c>
      <c r="C49" s="4" t="s">
        <v>39</v>
      </c>
      <c r="D49" s="14">
        <v>0</v>
      </c>
      <c r="E49" s="4" t="s">
        <v>40</v>
      </c>
      <c r="F49" s="14">
        <v>24</v>
      </c>
    </row>
    <row r="50" spans="1:6">
      <c r="A50" s="13" t="s">
        <v>143</v>
      </c>
      <c r="B50" s="14">
        <v>21008</v>
      </c>
      <c r="C50" s="4" t="s">
        <v>39</v>
      </c>
      <c r="D50" s="14">
        <v>0</v>
      </c>
      <c r="E50" s="4" t="s">
        <v>40</v>
      </c>
      <c r="F50" s="14">
        <v>24</v>
      </c>
    </row>
    <row r="51" spans="1:6">
      <c r="A51" s="13" t="s">
        <v>144</v>
      </c>
      <c r="B51" s="14">
        <v>21010</v>
      </c>
      <c r="C51" s="4" t="s">
        <v>39</v>
      </c>
      <c r="D51" s="14">
        <v>0</v>
      </c>
      <c r="E51" s="4" t="s">
        <v>40</v>
      </c>
      <c r="F51" s="14">
        <v>24</v>
      </c>
    </row>
    <row r="52" spans="1:6">
      <c r="A52" s="13" t="s">
        <v>145</v>
      </c>
      <c r="B52" s="14">
        <v>21012</v>
      </c>
      <c r="C52" s="4" t="s">
        <v>39</v>
      </c>
      <c r="D52" s="14">
        <v>0</v>
      </c>
      <c r="E52" s="4" t="s">
        <v>40</v>
      </c>
      <c r="F52" s="14">
        <v>24</v>
      </c>
    </row>
    <row r="53" spans="1:6">
      <c r="A53" s="13" t="s">
        <v>146</v>
      </c>
      <c r="B53" s="14">
        <v>21014</v>
      </c>
      <c r="C53" s="4" t="s">
        <v>39</v>
      </c>
      <c r="D53" s="14">
        <v>0</v>
      </c>
      <c r="E53" s="4" t="s">
        <v>40</v>
      </c>
      <c r="F53" s="14">
        <v>24</v>
      </c>
    </row>
    <row r="54" spans="1:6">
      <c r="A54" s="16" t="s">
        <v>147</v>
      </c>
      <c r="B54" s="17">
        <v>21016</v>
      </c>
      <c r="C54" s="26" t="s">
        <v>39</v>
      </c>
      <c r="D54" s="17">
        <v>0</v>
      </c>
      <c r="E54" s="26" t="s">
        <v>40</v>
      </c>
      <c r="F54" s="17">
        <v>24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2"/>
  <sheetViews>
    <sheetView workbookViewId="0">
      <selection activeCell="D15" sqref="D15"/>
    </sheetView>
  </sheetViews>
  <sheetFormatPr defaultColWidth="11" defaultRowHeight="12.75" outlineLevelCol="2"/>
  <cols>
    <col min="1" max="1" width="28.2" style="1" customWidth="1"/>
    <col min="2" max="2" width="17.8" style="1" customWidth="1"/>
    <col min="3" max="3" width="11" style="1" customWidth="1"/>
    <col min="4" max="4" width="13.2" style="1" customWidth="1"/>
    <col min="5" max="5" width="10.8" style="1" customWidth="1"/>
    <col min="6" max="6" width="13.4" style="1" customWidth="1"/>
    <col min="7" max="8" width="14.6" style="1" customWidth="1"/>
    <col min="9" max="9" width="17.8" style="1" customWidth="1"/>
    <col min="10" max="10" width="11" style="1" customWidth="1"/>
    <col min="11" max="11" width="9" style="1" customWidth="1"/>
    <col min="12" max="12" width="10.8" style="1" customWidth="1"/>
    <col min="13" max="13" width="12.4" style="1" customWidth="1"/>
    <col min="14" max="14" width="11" style="1" customWidth="1"/>
    <col min="15" max="15" width="8" style="1" customWidth="1"/>
    <col min="16" max="16" width="12.4" style="1" customWidth="1"/>
    <col min="17" max="17" width="12.6" style="1" customWidth="1"/>
    <col min="18" max="18" width="24.2" style="1" customWidth="1"/>
    <col min="19" max="19" width="12.6" style="1" customWidth="1"/>
    <col min="20" max="20" width="16" style="1" customWidth="1"/>
    <col min="21" max="21" width="9" style="1" customWidth="1"/>
    <col min="22" max="22" width="10.8" style="1" customWidth="1"/>
    <col min="23" max="24" width="13.4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148</v>
      </c>
    </row>
    <row r="2" ht="18.75" spans="2:2">
      <c r="B2" s="20" t="s">
        <v>149</v>
      </c>
    </row>
    <row r="5" ht="15" spans="2:2">
      <c r="B5" s="4" t="s">
        <v>97</v>
      </c>
    </row>
    <row r="6" ht="15" spans="1:2">
      <c r="A6" s="6" t="s">
        <v>98</v>
      </c>
      <c r="B6" s="4" t="s">
        <v>150</v>
      </c>
    </row>
    <row r="7" ht="15" spans="1:2">
      <c r="A7" s="6" t="s">
        <v>99</v>
      </c>
      <c r="B7" s="4"/>
    </row>
    <row r="10" ht="23.25" spans="1:1">
      <c r="A10" s="7" t="s">
        <v>92</v>
      </c>
    </row>
    <row r="11" ht="15" spans="1:3">
      <c r="A11" s="21" t="s">
        <v>151</v>
      </c>
      <c r="B11" s="11" t="s">
        <v>152</v>
      </c>
      <c r="C11" s="11" t="s">
        <v>153</v>
      </c>
    </row>
    <row r="12" ht="15" spans="1:3">
      <c r="A12" s="21">
        <v>44927</v>
      </c>
      <c r="B12" s="11" t="s">
        <v>154</v>
      </c>
      <c r="C12" s="11">
        <v>200</v>
      </c>
    </row>
    <row r="13" ht="15" spans="1:3">
      <c r="A13" s="21">
        <v>44928</v>
      </c>
      <c r="B13" s="11" t="s">
        <v>155</v>
      </c>
      <c r="C13" s="11">
        <v>20</v>
      </c>
    </row>
    <row r="14" ht="15" spans="1:3">
      <c r="A14" s="21">
        <v>44929</v>
      </c>
      <c r="B14" s="11" t="s">
        <v>156</v>
      </c>
      <c r="C14" s="11">
        <v>50</v>
      </c>
    </row>
    <row r="15" ht="15" spans="1:3">
      <c r="A15" s="21">
        <v>44930</v>
      </c>
      <c r="B15" s="11" t="s">
        <v>157</v>
      </c>
      <c r="C15" s="11">
        <v>20</v>
      </c>
    </row>
    <row r="16" ht="15" spans="1:3">
      <c r="A16" s="21">
        <v>44931</v>
      </c>
      <c r="B16" s="11" t="s">
        <v>158</v>
      </c>
      <c r="C16" s="11">
        <v>10</v>
      </c>
    </row>
    <row r="17" ht="15" spans="1:3">
      <c r="A17" s="21">
        <v>44932</v>
      </c>
      <c r="B17" s="11" t="s">
        <v>159</v>
      </c>
      <c r="C17" s="11">
        <v>150</v>
      </c>
    </row>
    <row r="18" ht="15" spans="1:3">
      <c r="A18" s="21">
        <v>44933</v>
      </c>
      <c r="B18" s="11" t="s">
        <v>160</v>
      </c>
      <c r="C18" s="11">
        <v>80</v>
      </c>
    </row>
    <row r="19" ht="15" spans="1:3">
      <c r="A19" s="21">
        <v>44934</v>
      </c>
      <c r="B19" s="11" t="s">
        <v>161</v>
      </c>
      <c r="C19" s="11">
        <v>20</v>
      </c>
    </row>
    <row r="20" ht="15" spans="1:3">
      <c r="A20" s="21">
        <v>44935</v>
      </c>
      <c r="B20" s="11" t="s">
        <v>162</v>
      </c>
      <c r="C20" s="11">
        <v>30</v>
      </c>
    </row>
    <row r="21" ht="15" spans="1:3">
      <c r="A21" s="21">
        <v>44936</v>
      </c>
      <c r="B21" s="11" t="s">
        <v>163</v>
      </c>
      <c r="C21" s="11">
        <f>IF(ISNA(C12),20,A21)</f>
        <v>44936</v>
      </c>
    </row>
    <row r="22" ht="15" spans="2:3">
      <c r="B22" s="11" t="s">
        <v>164</v>
      </c>
      <c r="C22" s="22">
        <f>SUM(C12:C21)</f>
        <v>45516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workbookViewId="0">
      <selection activeCell="B8" sqref="B8"/>
    </sheetView>
  </sheetViews>
  <sheetFormatPr defaultColWidth="11" defaultRowHeight="12.75"/>
  <cols>
    <col min="1" max="1" width="28.2" style="1" customWidth="1"/>
    <col min="2" max="16384" width="11" style="1"/>
  </cols>
  <sheetData>
    <row r="1" ht="21" spans="1:2">
      <c r="A1" s="2" t="s">
        <v>12</v>
      </c>
      <c r="B1" s="3" t="s">
        <v>165</v>
      </c>
    </row>
    <row r="3" ht="15" spans="2:2">
      <c r="B3" s="4" t="s">
        <v>97</v>
      </c>
    </row>
    <row r="4" ht="18.75" spans="1:2">
      <c r="A4" s="5" t="s">
        <v>98</v>
      </c>
      <c r="B4" s="4"/>
    </row>
    <row r="5" ht="18.75" spans="1:2">
      <c r="A5" s="5" t="s">
        <v>99</v>
      </c>
      <c r="B5" s="4" t="s">
        <v>166</v>
      </c>
    </row>
    <row r="6" ht="15" spans="1:2">
      <c r="A6" s="6"/>
      <c r="B6" s="4"/>
    </row>
    <row r="8" ht="23.25" spans="1:13">
      <c r="A8" s="7" t="s">
        <v>92</v>
      </c>
      <c r="M8" s="7" t="s">
        <v>167</v>
      </c>
    </row>
    <row r="9" ht="15" spans="1:14">
      <c r="A9" s="8"/>
      <c r="B9" s="8" t="s">
        <v>168</v>
      </c>
      <c r="C9" s="8" t="s">
        <v>169</v>
      </c>
      <c r="D9" s="8" t="s">
        <v>170</v>
      </c>
      <c r="E9" s="8" t="s">
        <v>171</v>
      </c>
      <c r="F9" s="8" t="s">
        <v>172</v>
      </c>
      <c r="G9" s="8" t="s">
        <v>173</v>
      </c>
      <c r="H9" s="8" t="s">
        <v>174</v>
      </c>
      <c r="I9" s="8" t="s">
        <v>175</v>
      </c>
      <c r="J9" s="8" t="s">
        <v>176</v>
      </c>
      <c r="M9" s="19" t="s">
        <v>15</v>
      </c>
      <c r="N9" s="19" t="s">
        <v>177</v>
      </c>
    </row>
    <row r="10" ht="15" spans="1:14">
      <c r="A10" s="8" t="s">
        <v>168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168</v>
      </c>
    </row>
    <row r="11" ht="15" spans="1:14">
      <c r="A11" s="8" t="s">
        <v>169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169</v>
      </c>
    </row>
    <row r="12" ht="15" spans="1:14">
      <c r="A12" s="8" t="s">
        <v>170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170</v>
      </c>
    </row>
    <row r="13" ht="15" spans="1:14">
      <c r="A13" s="8" t="s">
        <v>171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171</v>
      </c>
    </row>
    <row r="14" ht="15" spans="1:14">
      <c r="A14" s="8" t="s">
        <v>172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172</v>
      </c>
    </row>
    <row r="15" ht="15" spans="1:14">
      <c r="A15" s="8" t="s">
        <v>173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173</v>
      </c>
    </row>
    <row r="16" ht="15" spans="1:14">
      <c r="A16" s="8" t="s">
        <v>174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174</v>
      </c>
    </row>
    <row r="17" ht="15" spans="1:14">
      <c r="A17" s="8" t="s">
        <v>175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175</v>
      </c>
    </row>
    <row r="18" ht="15" spans="1:14">
      <c r="A18" s="8" t="s">
        <v>176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7">
        <v>10116</v>
      </c>
      <c r="N18" s="17" t="s">
        <v>176</v>
      </c>
    </row>
    <row r="21" ht="23.25" spans="1:1">
      <c r="A21" s="7" t="s">
        <v>178</v>
      </c>
    </row>
    <row r="22" ht="15" spans="1:3">
      <c r="A22" s="10" t="s">
        <v>179</v>
      </c>
      <c r="B22" s="11" t="s">
        <v>180</v>
      </c>
      <c r="C22" s="12" t="s">
        <v>102</v>
      </c>
    </row>
    <row r="23" ht="15" spans="1:3">
      <c r="A23" s="13">
        <v>10100</v>
      </c>
      <c r="B23" s="14">
        <v>10102</v>
      </c>
      <c r="C23" s="15"/>
    </row>
    <row r="24" ht="15" spans="1:3">
      <c r="A24" s="13">
        <v>10100</v>
      </c>
      <c r="B24" s="14">
        <v>10104</v>
      </c>
      <c r="C24" s="15"/>
    </row>
    <row r="25" ht="15" spans="1:3">
      <c r="A25" s="13">
        <v>10108</v>
      </c>
      <c r="B25" s="14">
        <v>10102</v>
      </c>
      <c r="C25" s="15"/>
    </row>
    <row r="26" ht="15" spans="1:3">
      <c r="A26" s="13">
        <v>10100</v>
      </c>
      <c r="B26" s="14">
        <v>10106</v>
      </c>
      <c r="C26" s="15"/>
    </row>
    <row r="27" ht="15" spans="1:3">
      <c r="A27" s="13">
        <v>10108</v>
      </c>
      <c r="B27" s="14">
        <v>10110</v>
      </c>
      <c r="C27" s="15"/>
    </row>
    <row r="28" ht="15" spans="1:3">
      <c r="A28" s="13">
        <v>10102</v>
      </c>
      <c r="B28" s="14">
        <v>10104</v>
      </c>
      <c r="C28" s="15"/>
    </row>
    <row r="29" ht="15" spans="1:3">
      <c r="A29" s="13">
        <v>10106</v>
      </c>
      <c r="B29" s="14">
        <v>10108</v>
      </c>
      <c r="C29" s="15"/>
    </row>
    <row r="30" ht="15" spans="1:3">
      <c r="A30" s="13">
        <v>10102</v>
      </c>
      <c r="B30" s="14">
        <v>10106</v>
      </c>
      <c r="C30" s="15"/>
    </row>
    <row r="31" ht="15" spans="1:3">
      <c r="A31" s="13">
        <v>10110</v>
      </c>
      <c r="B31" s="14">
        <v>10114</v>
      </c>
      <c r="C31" s="15"/>
    </row>
    <row r="32" ht="15" spans="1:3">
      <c r="A32" s="13">
        <v>10104</v>
      </c>
      <c r="B32" s="14">
        <v>10106</v>
      </c>
      <c r="C32" s="15"/>
    </row>
    <row r="33" ht="15" spans="1:3">
      <c r="A33" s="13">
        <v>10110</v>
      </c>
      <c r="B33" s="14">
        <v>10112</v>
      </c>
      <c r="C33" s="15"/>
    </row>
    <row r="34" ht="15" spans="1:3">
      <c r="A34" s="13">
        <v>10100</v>
      </c>
      <c r="B34" s="14">
        <v>10114</v>
      </c>
      <c r="C34" s="15"/>
    </row>
    <row r="35" ht="15" spans="1:3">
      <c r="A35" s="16">
        <v>10112</v>
      </c>
      <c r="B35" s="17">
        <v>10116</v>
      </c>
      <c r="C35" s="18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vranusha Chaluvadi</cp:lastModifiedBy>
  <dcterms:created xsi:type="dcterms:W3CDTF">2015-02-10T17:33:00Z</dcterms:created>
  <dcterms:modified xsi:type="dcterms:W3CDTF">2023-12-10T13:40:21Z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1033-12.2.0.13359</vt:lpwstr>
  </property>
  <property fmtid="{D5CDD505-2E9C-101B-9397-08002B2CF9AE}" pid="3" name="ICV">
    <vt:lpwstr>F82C1AD7203B4DB79F4D405794BD574F_13</vt:lpwstr>
  </property>
</Properties>
</file>